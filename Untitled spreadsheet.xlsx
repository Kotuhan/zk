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<sst xmlns="http://schemas.openxmlformats.org/spreadsheetml/2006/main" count="13" uniqueCount="13">
  <si>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Повна ціна</t>
  </si>
  <si>
    <t>Кількість</t>
  </si>
  <si>
    <t>Відсоток</t>
  </si>
  <si>
    <t>Витрата</t>
  </si>
  <si>
    <t>Залишок</t>
  </si>
  <si>
    <t>Менеджери (%)</t>
  </si>
  <si>
    <t>Маркетинг (%)</t>
  </si>
  <si>
    <t>Виробництво (%)</t>
  </si>
  <si>
    <t>Фурнітура (грн)</t>
  </si>
  <si>
    <t>Логістика (грн)</t>
  </si>
  <si>
    <t>Рекламації (%)</t>
  </si>
  <si>
    <t>Всього витрати:</t>
  </si>
  <si>
    <t xml:space="preserve">Прибуток: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</si>
</sst>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0" xfId="0" applyFont="1" applyNumberForma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15.0"/>
    <col customWidth="1" min="5" max="5" width="15.25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>
      <c r="A2" s="1">
        <v>120000.0</v>
      </c>
      <c r="B2" s="1">
        <v>1.0</v>
      </c>
      <c r="C2" s="1" t="s">
        <v>5</v>
      </c>
      <c r="D2" s="2">
        <v>0.1</v>
      </c>
      <c r="E2" s="3">
        <f>A2*D2</f>
        <v>12000</v>
      </c>
      <c r="F2" s="4">
        <f>A2-E2</f>
        <v>108000</v>
      </c>
    </row>
    <row r="3">
      <c r="C3" s="1" t="s">
        <v>6</v>
      </c>
      <c r="D3" s="2">
        <v>0.0</v>
      </c>
      <c r="E3" s="4">
        <f>A2*D3</f>
        <v>0</v>
      </c>
      <c r="F3" s="4">
        <f t="shared" ref="F3:F7" si="1">F2-E3</f>
        <v>108000</v>
      </c>
    </row>
    <row r="4">
      <c r="C4" s="1" t="s">
        <v>7</v>
      </c>
      <c r="D4" s="2">
        <v>0.54</v>
      </c>
      <c r="E4" s="4">
        <f>A2-A2*D4</f>
        <v>55200</v>
      </c>
      <c r="F4" s="4">
        <f t="shared" si="1"/>
        <v>52800</v>
      </c>
    </row>
    <row r="5">
      <c r="C5" s="1" t="s">
        <v>8</v>
      </c>
      <c r="D5" s="5">
        <f>E5/A2</f>
        <v>0.01666666667</v>
      </c>
      <c r="E5" s="3">
        <v>2000.0</v>
      </c>
      <c r="F5" s="4">
        <f t="shared" si="1"/>
        <v>50800</v>
      </c>
    </row>
    <row r="6">
      <c r="C6" s="1" t="s">
        <v>9</v>
      </c>
      <c r="D6" s="5">
        <f>E6/A2</f>
        <v>0.01666666667</v>
      </c>
      <c r="E6" s="3">
        <v>2000.0</v>
      </c>
      <c r="F6" s="4">
        <f t="shared" si="1"/>
        <v>48800</v>
      </c>
    </row>
    <row r="7">
      <c r="C7" s="1" t="s">
        <v>10</v>
      </c>
      <c r="D7" s="2">
        <v>0.02</v>
      </c>
      <c r="E7" s="3">
        <f>A2*D7</f>
        <v>2400</v>
      </c>
      <c r="F7" s="4">
        <f t="shared" si="1"/>
        <v>46400</v>
      </c>
    </row>
    <row r="8">
      <c r="E8" s="4"/>
    </row>
    <row r="9">
      <c r="C9" s="1" t="s">
        <v>11</v>
      </c>
      <c r="D9" s="6">
        <f t="shared" ref="D9:E9" si="2">SUM(D2:D7)</f>
        <v>0.6933333333</v>
      </c>
      <c r="E9" s="4">
        <f t="shared" si="2"/>
        <v>73600</v>
      </c>
    </row>
    <row r="10">
      <c r="C10" s="1" t="s">
        <v>12</v>
      </c>
      <c r="D10" s="5">
        <f>1-D9</f>
        <v>0.3066666667</v>
      </c>
      <c r="E10" s="4">
        <f>A2*D10</f>
        <v>36800</v>
      </c>
    </row>
  </sheetData>
  <drawing r:id="rId1"/>
</worksheet>
</file>